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8C4F1C90-05EB-6A55-5F09-09C24B55AC0B}"/>
  <workbookPr codeName="DieseArbeitsmappe" checkCompatibility="1" autoCompressPictures="0"/>
  <bookViews>
    <workbookView xWindow="140" yWindow="0" windowWidth="21860" windowHeight="18300"/>
  </bookViews>
  <sheets>
    <sheet name="Calculation_Z" sheetId="6" r:id="rId1"/>
    <sheet name="DB" sheetId="2" r:id="rId2"/>
  </sheets>
  <definedNames>
    <definedName name="Inertia_motor">Calculation_Z!$C$40</definedName>
    <definedName name="Inertia_Nema_14">DB!$B$6</definedName>
    <definedName name="Inertia_Nema_17">DB!$B$4</definedName>
    <definedName name="motor_type" localSheetId="0">Calculation_Z!$C$39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5" i="6" l="1"/>
  <c r="L65" i="6"/>
  <c r="K65" i="6"/>
  <c r="N43" i="6"/>
  <c r="N44" i="6"/>
  <c r="C22" i="6"/>
  <c r="J50" i="6"/>
  <c r="J49" i="6"/>
  <c r="K57" i="6"/>
  <c r="C40" i="6"/>
  <c r="C12" i="6"/>
  <c r="C13" i="6"/>
  <c r="C14" i="6"/>
  <c r="C30" i="6"/>
  <c r="C42" i="6"/>
  <c r="C18" i="6"/>
  <c r="C20" i="6"/>
  <c r="C23" i="6"/>
  <c r="C19" i="6"/>
  <c r="K3" i="2"/>
  <c r="H3" i="2"/>
  <c r="B6" i="2"/>
  <c r="B5" i="2"/>
  <c r="B4" i="2"/>
  <c r="B3" i="2"/>
  <c r="C31" i="6"/>
  <c r="C43" i="6"/>
  <c r="X8" i="6"/>
  <c r="X9" i="6"/>
  <c r="C46" i="6"/>
  <c r="C47" i="6"/>
  <c r="C49" i="6"/>
  <c r="Y8" i="6"/>
  <c r="Y7" i="6"/>
</calcChain>
</file>

<file path=xl/sharedStrings.xml><?xml version="1.0" encoding="utf-8"?>
<sst xmlns="http://schemas.openxmlformats.org/spreadsheetml/2006/main" count="122" uniqueCount="78">
  <si>
    <t>m</t>
  </si>
  <si>
    <t>angle</t>
  </si>
  <si>
    <t>kg</t>
  </si>
  <si>
    <t>°</t>
  </si>
  <si>
    <t>a</t>
  </si>
  <si>
    <t>m/s^2</t>
  </si>
  <si>
    <t>v</t>
  </si>
  <si>
    <t>m/s</t>
  </si>
  <si>
    <t>[ ]</t>
  </si>
  <si>
    <t>friction</t>
  </si>
  <si>
    <t>i</t>
  </si>
  <si>
    <t>J_gearbox</t>
  </si>
  <si>
    <t>kgm^2</t>
  </si>
  <si>
    <t>efficency</t>
  </si>
  <si>
    <t>F_friction</t>
  </si>
  <si>
    <t>N</t>
  </si>
  <si>
    <t>F_gravity</t>
  </si>
  <si>
    <t>F_acc</t>
  </si>
  <si>
    <t>F_tot</t>
  </si>
  <si>
    <t>T_gearboxOutMax</t>
  </si>
  <si>
    <t>Nm</t>
  </si>
  <si>
    <t>n_gearboxOutMax</t>
  </si>
  <si>
    <t>1/min</t>
  </si>
  <si>
    <t>T_gearboxInMax</t>
  </si>
  <si>
    <t>n_gearboxInMax</t>
  </si>
  <si>
    <t>J_coupling</t>
  </si>
  <si>
    <t>T_motorMax</t>
  </si>
  <si>
    <t>n_motorMax</t>
  </si>
  <si>
    <t>J_moved</t>
  </si>
  <si>
    <t>J_reduced</t>
  </si>
  <si>
    <t>i_mismatch</t>
  </si>
  <si>
    <t>J_motor</t>
  </si>
  <si>
    <t>rad/s^2</t>
  </si>
  <si>
    <t>F_additional</t>
  </si>
  <si>
    <t>Motor</t>
  </si>
  <si>
    <t>Gearbox</t>
  </si>
  <si>
    <t>Inertia missmatch</t>
  </si>
  <si>
    <t>gravity force</t>
  </si>
  <si>
    <t>acceleration force</t>
  </si>
  <si>
    <t>diameter</t>
  </si>
  <si>
    <t>Additional force (special chain-axis?)</t>
  </si>
  <si>
    <t>total of all</t>
  </si>
  <si>
    <t>Gearbox Output Torque</t>
  </si>
  <si>
    <t>Gearbox Ratio</t>
  </si>
  <si>
    <t>Gearbox Inertia (input)</t>
  </si>
  <si>
    <t>Gearbox Input Torque</t>
  </si>
  <si>
    <t>Gearbox Input rotational speed</t>
  </si>
  <si>
    <t>Gearbox Output rotational speed</t>
  </si>
  <si>
    <t>Inertia Coupling (~0.5*m*r^2)</t>
  </si>
  <si>
    <t>T_additional_resistance</t>
  </si>
  <si>
    <t>Additional resistance (e.g. bearing)</t>
  </si>
  <si>
    <t>Motor Inertia</t>
  </si>
  <si>
    <t>Max required Torque Motor</t>
  </si>
  <si>
    <t>Max required Speed Motor</t>
  </si>
  <si>
    <t>Moved Mass</t>
  </si>
  <si>
    <t>Overall friction</t>
  </si>
  <si>
    <r>
      <t xml:space="preserve">friction due guideway-system </t>
    </r>
    <r>
      <rPr>
        <sz val="11"/>
        <color rgb="FFFF0000"/>
        <rFont val="Calibri"/>
        <family val="2"/>
        <scheme val="minor"/>
      </rPr>
      <t>(on a vertical axis this value is 0!)</t>
    </r>
  </si>
  <si>
    <t>n / [1/min]</t>
  </si>
  <si>
    <t>T / [Nm]</t>
  </si>
  <si>
    <t>n /  [1/min]</t>
  </si>
  <si>
    <t>Application</t>
  </si>
  <si>
    <t>x</t>
  </si>
  <si>
    <t>n /  [1/min]</t>
  </si>
  <si>
    <t>distance F_tot</t>
  </si>
  <si>
    <t>Lift Sizing</t>
  </si>
  <si>
    <t>pulley</t>
  </si>
  <si>
    <t>d_pulley</t>
  </si>
  <si>
    <t>J_pulley</t>
  </si>
  <si>
    <t>Inertia of pulley (~0.5*m*r^2)</t>
  </si>
  <si>
    <t>alpha_pulley</t>
  </si>
  <si>
    <t>Asynchro 1.1 (graph 1)</t>
  </si>
  <si>
    <t>Asynchro 1.1 (graph 2)</t>
  </si>
  <si>
    <t>Asynchro 0.75 (graph 1)</t>
  </si>
  <si>
    <t>Asynchro 0.75 (graph 2)</t>
  </si>
  <si>
    <t>Coupling (shaft)</t>
  </si>
  <si>
    <t>Set-up</t>
  </si>
  <si>
    <t>Graph</t>
  </si>
  <si>
    <t>Lift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</si>
</sst>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"/>
    <numFmt numFmtId="165" formatCode="0.000000"/>
    <numFmt numFmtId="166" formatCode="0.000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8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164" fontId="0" fillId="0" borderId="0" xfId="0" applyNumberFormat="1"/>
    <xf numFmtId="2" fontId="0" fillId="0" borderId="0" xfId="0" applyNumberFormat="1"/>
    <xf numFmtId="165" fontId="0" fillId="2" borderId="0" xfId="0" applyNumberFormat="1" applyFill="1"/>
    <xf numFmtId="1" fontId="0" fillId="0" borderId="0" xfId="0" applyNumberFormat="1"/>
    <xf numFmtId="0" fontId="0" fillId="0" borderId="0" xfId="0" applyFill="1"/>
    <xf numFmtId="0" fontId="1" fillId="2" borderId="0" xfId="0" applyFont="1" applyFill="1"/>
    <xf numFmtId="0" fontId="0" fillId="0" borderId="1" xfId="0" applyBorder="1"/>
    <xf numFmtId="11" fontId="0" fillId="0" borderId="0" xfId="0" applyNumberFormat="1"/>
    <xf numFmtId="0" fontId="0" fillId="0" borderId="0" xfId="0" applyNumberFormat="1"/>
    <xf numFmtId="0" fontId="0" fillId="0" borderId="2" xfId="0" applyBorder="1"/>
    <xf numFmtId="2" fontId="0" fillId="3" borderId="0" xfId="0" applyNumberFormat="1" applyFill="1"/>
    <xf numFmtId="0" fontId="0" fillId="3" borderId="0" xfId="0" applyFill="1"/>
    <xf numFmtId="1" fontId="0" fillId="3" borderId="0" xfId="0" applyNumberFormat="1" applyFill="1"/>
    <xf numFmtId="166" fontId="0" fillId="3" borderId="0" xfId="0" applyNumberFormat="1" applyFill="1"/>
    <xf numFmtId="1" fontId="0" fillId="0" borderId="0" xfId="0" applyNumberFormat="1" applyFill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/>
    <xf numFmtId="2" fontId="5" fillId="0" borderId="0" xfId="0" applyNumberFormat="1" applyFont="1"/>
    <xf numFmtId="0" fontId="0" fillId="0" borderId="0" xfId="0" applyAlignment="1">
      <alignment horizontal="right"/>
    </xf>
    <xf numFmtId="0" fontId="4" fillId="0" borderId="0" xfId="0" applyFont="1" applyAlignment="1">
      <alignment vertical="center"/>
    </xf>
  </cellXfs>
  <cellStyles count="87">
    <cellStyle name="Besuchter Link" xfId="2" builtinId="9" hidden="1"/>
    <cellStyle name="Besuchter Link" xfId="4" builtinId="9" hidden="1"/>
    <cellStyle name="Besuchter Link" xfId="6" builtinId="9" hidden="1"/>
    <cellStyle name="Besuchter Link" xfId="8" builtinId="9" hidden="1"/>
    <cellStyle name="Besuchter Link" xfId="10" builtinId="9" hidden="1"/>
    <cellStyle name="Besuchter Link" xfId="12" builtinId="9" hidden="1"/>
    <cellStyle name="Besuchter Link" xfId="14" builtinId="9" hidden="1"/>
    <cellStyle name="Besuchter Link" xfId="16" builtinId="9" hidden="1"/>
    <cellStyle name="Besuchter Link" xfId="18" builtinId="9" hidden="1"/>
    <cellStyle name="Besuchter Link" xfId="20" builtinId="9" hidden="1"/>
    <cellStyle name="Besuchter Link" xfId="22" builtinId="9" hidden="1"/>
    <cellStyle name="Besuchter Link" xfId="24" builtinId="9" hidden="1"/>
    <cellStyle name="Besuchter Link" xfId="26" builtinId="9" hidden="1"/>
    <cellStyle name="Besuchter Link" xfId="28" builtinId="9" hidden="1"/>
    <cellStyle name="Besuchter Link" xfId="30" builtinId="9" hidden="1"/>
    <cellStyle name="Besuchter Link" xfId="32" builtinId="9" hidden="1"/>
    <cellStyle name="Besuchter Link" xfId="34" builtinId="9" hidden="1"/>
    <cellStyle name="Besuchter Link" xfId="36" builtinId="9" hidden="1"/>
    <cellStyle name="Besuchter Link" xfId="38" builtinId="9" hidden="1"/>
    <cellStyle name="Besuchter Link" xfId="40" builtinId="9" hidden="1"/>
    <cellStyle name="Besuchter Link" xfId="42" builtinId="9" hidden="1"/>
    <cellStyle name="Besuchter Link" xfId="44" builtinId="9" hidden="1"/>
    <cellStyle name="Besuchter Link" xfId="46" builtinId="9" hidden="1"/>
    <cellStyle name="Besuchter Link" xfId="48" builtinId="9" hidden="1"/>
    <cellStyle name="Besuchter Link" xfId="50" builtinId="9" hidden="1"/>
    <cellStyle name="Besuchter Link" xfId="52" builtinId="9" hidden="1"/>
    <cellStyle name="Besuchter Link" xfId="54" builtinId="9" hidden="1"/>
    <cellStyle name="Besuchter Link" xfId="56" builtinId="9" hidden="1"/>
    <cellStyle name="Besuchter Link" xfId="58" builtinId="9" hidden="1"/>
    <cellStyle name="Besuchter Link" xfId="60" builtinId="9" hidden="1"/>
    <cellStyle name="Besuchter Link" xfId="62" builtinId="9" hidden="1"/>
    <cellStyle name="Besuchter Link" xfId="64" builtinId="9" hidden="1"/>
    <cellStyle name="Besuchter Link" xfId="66" builtinId="9" hidden="1"/>
    <cellStyle name="Besuchter Link" xfId="68" builtinId="9" hidden="1"/>
    <cellStyle name="Besuchter Link" xfId="70" builtinId="9" hidden="1"/>
    <cellStyle name="Besuchter Link" xfId="72" builtinId="9" hidden="1"/>
    <cellStyle name="Besuchter Link" xfId="74" builtinId="9" hidden="1"/>
    <cellStyle name="Besuchter Link" xfId="76" builtinId="9" hidden="1"/>
    <cellStyle name="Besuchter Link" xfId="78" builtinId="9" hidden="1"/>
    <cellStyle name="Besuchter Link" xfId="80" builtinId="9" hidden="1"/>
    <cellStyle name="Besuchter Link" xfId="82" builtinId="9" hidden="1"/>
    <cellStyle name="Besuchter Link" xfId="84" builtinId="9" hidden="1"/>
    <cellStyle name="Besuchter Link" xfId="8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Link" xfId="37" builtinId="8" hidden="1"/>
    <cellStyle name="Link" xfId="39" builtinId="8" hidden="1"/>
    <cellStyle name="Link" xfId="41" builtinId="8" hidden="1"/>
    <cellStyle name="Link" xfId="43" builtinId="8" hidden="1"/>
    <cellStyle name="Link" xfId="45" builtinId="8" hidden="1"/>
    <cellStyle name="Link" xfId="47" builtinId="8" hidden="1"/>
    <cellStyle name="Link" xfId="49" builtinId="8" hidden="1"/>
    <cellStyle name="Link" xfId="51" builtinId="8" hidden="1"/>
    <cellStyle name="Link" xfId="53" builtinId="8" hidden="1"/>
    <cellStyle name="Link" xfId="55" builtinId="8" hidden="1"/>
    <cellStyle name="Link" xfId="57" builtinId="8" hidden="1"/>
    <cellStyle name="Link" xfId="59" builtinId="8" hidden="1"/>
    <cellStyle name="Link" xfId="61" builtinId="8" hidden="1"/>
    <cellStyle name="Link" xfId="63" builtinId="8" hidden="1"/>
    <cellStyle name="Link" xfId="65" builtinId="8" hidden="1"/>
    <cellStyle name="Link" xfId="67" builtinId="8" hidden="1"/>
    <cellStyle name="Link" xfId="69" builtinId="8" hidden="1"/>
    <cellStyle name="Link" xfId="71" builtinId="8" hidden="1"/>
    <cellStyle name="Link" xfId="73" builtinId="8" hidden="1"/>
    <cellStyle name="Link" xfId="75" builtinId="8" hidden="1"/>
    <cellStyle name="Link" xfId="77" builtinId="8" hidden="1"/>
    <cellStyle name="Link" xfId="79" builtinId="8" hidden="1"/>
    <cellStyle name="Link" xfId="81" builtinId="8" hidden="1"/>
    <cellStyle name="Link" xfId="83" builtinId="8" hidden="1"/>
    <cellStyle name="Link" xfId="85" builtinId="8" hidden="1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Asynchro 1.1 (graph1)</c:v>
          </c:tx>
          <c:xVal>
            <c:numRef>
              <c:f>DB!$G$3:$G$16</c:f>
              <c:numCache>
                <c:formatCode>General</c:formatCode>
                <c:ptCount val="14"/>
                <c:pt idx="0">
                  <c:v>0.0</c:v>
                </c:pt>
                <c:pt idx="1">
                  <c:v>100.0</c:v>
                </c:pt>
                <c:pt idx="2">
                  <c:v>200.0</c:v>
                </c:pt>
                <c:pt idx="3">
                  <c:v>300.0</c:v>
                </c:pt>
                <c:pt idx="4">
                  <c:v>400.0</c:v>
                </c:pt>
                <c:pt idx="5">
                  <c:v>500.0</c:v>
                </c:pt>
                <c:pt idx="6">
                  <c:v>600.0</c:v>
                </c:pt>
                <c:pt idx="7">
                  <c:v>700.0</c:v>
                </c:pt>
                <c:pt idx="8">
                  <c:v>800.0</c:v>
                </c:pt>
                <c:pt idx="9">
                  <c:v>900.0</c:v>
                </c:pt>
                <c:pt idx="10">
                  <c:v>1000.0</c:v>
                </c:pt>
                <c:pt idx="11">
                  <c:v>1100.0</c:v>
                </c:pt>
                <c:pt idx="12">
                  <c:v>1200.0</c:v>
                </c:pt>
                <c:pt idx="13">
                  <c:v>1300.0</c:v>
                </c:pt>
              </c:numCache>
            </c:numRef>
          </c:xVal>
          <c:yVal>
            <c:numRef>
              <c:f>DB!$H$3:$H$16</c:f>
              <c:numCache>
                <c:formatCode>General</c:formatCode>
                <c:ptCount val="14"/>
                <c:pt idx="0">
                  <c:v>16.17</c:v>
                </c:pt>
                <c:pt idx="1">
                  <c:v>10.0</c:v>
                </c:pt>
                <c:pt idx="2">
                  <c:v>8.0</c:v>
                </c:pt>
                <c:pt idx="3">
                  <c:v>7.5</c:v>
                </c:pt>
                <c:pt idx="4">
                  <c:v>7.35</c:v>
                </c:pt>
                <c:pt idx="5">
                  <c:v>7.35</c:v>
                </c:pt>
                <c:pt idx="6">
                  <c:v>7.35</c:v>
                </c:pt>
                <c:pt idx="7">
                  <c:v>7.35</c:v>
                </c:pt>
                <c:pt idx="8">
                  <c:v>7.35</c:v>
                </c:pt>
                <c:pt idx="9">
                  <c:v>7.35</c:v>
                </c:pt>
                <c:pt idx="10">
                  <c:v>7.35</c:v>
                </c:pt>
                <c:pt idx="11">
                  <c:v>7.35</c:v>
                </c:pt>
                <c:pt idx="12">
                  <c:v>7.35</c:v>
                </c:pt>
                <c:pt idx="13">
                  <c:v>7.35</c:v>
                </c:pt>
              </c:numCache>
            </c:numRef>
          </c:yVal>
          <c:smooth val="1"/>
        </c:ser>
        <c:ser>
          <c:idx val="1"/>
          <c:order val="1"/>
          <c:tx>
            <c:v>Application</c:v>
          </c:tx>
          <c:xVal>
            <c:numRef>
              <c:f>Calculation_Z!$X$6:$X$9</c:f>
              <c:numCache>
                <c:formatCode>0</c:formatCode>
                <c:ptCount val="4"/>
                <c:pt idx="0" formatCode="General">
                  <c:v>0.0</c:v>
                </c:pt>
                <c:pt idx="1">
                  <c:v>0.0</c:v>
                </c:pt>
                <c:pt idx="2">
                  <c:v>1300.329747814635</c:v>
                </c:pt>
                <c:pt idx="3">
                  <c:v>1300.329747814635</c:v>
                </c:pt>
              </c:numCache>
            </c:numRef>
          </c:xVal>
          <c:yVal>
            <c:numRef>
              <c:f>Calculation_Z!$Y$6:$Y$9</c:f>
              <c:numCache>
                <c:formatCode>0.00</c:formatCode>
                <c:ptCount val="4"/>
                <c:pt idx="0">
                  <c:v>0.0</c:v>
                </c:pt>
                <c:pt idx="1">
                  <c:v>6.832527039007092</c:v>
                </c:pt>
                <c:pt idx="2">
                  <c:v>6.832527039007092</c:v>
                </c:pt>
                <c:pt idx="3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207992"/>
        <c:axId val="-2127440008"/>
      </c:scatterChart>
      <c:valAx>
        <c:axId val="-2050207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n / [1/min]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7440008"/>
        <c:crosses val="autoZero"/>
        <c:crossBetween val="midCat"/>
      </c:valAx>
      <c:valAx>
        <c:axId val="-2127440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T / [Nm]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50207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5" l="0.7" r="0.7" t="0.7874015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Asynchro 1.1 (graph2)</c:v>
          </c:tx>
          <c:xVal>
            <c:numRef>
              <c:f>DB!$J$3:$J$25</c:f>
              <c:numCache>
                <c:formatCode>General</c:formatCode>
                <c:ptCount val="23"/>
                <c:pt idx="0">
                  <c:v>0.0</c:v>
                </c:pt>
                <c:pt idx="1">
                  <c:v>100.0</c:v>
                </c:pt>
                <c:pt idx="2">
                  <c:v>200.0</c:v>
                </c:pt>
                <c:pt idx="3">
                  <c:v>300.0</c:v>
                </c:pt>
                <c:pt idx="4">
                  <c:v>400.0</c:v>
                </c:pt>
                <c:pt idx="5">
                  <c:v>500.0</c:v>
                </c:pt>
                <c:pt idx="6">
                  <c:v>600.0</c:v>
                </c:pt>
                <c:pt idx="7">
                  <c:v>700.0</c:v>
                </c:pt>
                <c:pt idx="8">
                  <c:v>800.0</c:v>
                </c:pt>
                <c:pt idx="9">
                  <c:v>900.0</c:v>
                </c:pt>
                <c:pt idx="10">
                  <c:v>1000.0</c:v>
                </c:pt>
                <c:pt idx="11">
                  <c:v>1100.0</c:v>
                </c:pt>
                <c:pt idx="12">
                  <c:v>1200.0</c:v>
                </c:pt>
                <c:pt idx="13">
                  <c:v>1300.0</c:v>
                </c:pt>
                <c:pt idx="14">
                  <c:v>1400.0</c:v>
                </c:pt>
              </c:numCache>
            </c:numRef>
          </c:xVal>
          <c:yVal>
            <c:numRef>
              <c:f>DB!$K$3:$K$25</c:f>
              <c:numCache>
                <c:formatCode>General</c:formatCode>
                <c:ptCount val="23"/>
                <c:pt idx="0">
                  <c:v>16.17</c:v>
                </c:pt>
                <c:pt idx="1">
                  <c:v>10.0</c:v>
                </c:pt>
                <c:pt idx="2">
                  <c:v>8.0</c:v>
                </c:pt>
                <c:pt idx="3">
                  <c:v>7.5</c:v>
                </c:pt>
                <c:pt idx="4">
                  <c:v>7.35</c:v>
                </c:pt>
                <c:pt idx="5">
                  <c:v>7.35</c:v>
                </c:pt>
                <c:pt idx="6">
                  <c:v>7.35</c:v>
                </c:pt>
                <c:pt idx="7">
                  <c:v>7.35</c:v>
                </c:pt>
                <c:pt idx="8">
                  <c:v>7.35</c:v>
                </c:pt>
                <c:pt idx="9">
                  <c:v>7.35</c:v>
                </c:pt>
                <c:pt idx="10">
                  <c:v>7.35</c:v>
                </c:pt>
                <c:pt idx="11">
                  <c:v>7.35</c:v>
                </c:pt>
                <c:pt idx="12">
                  <c:v>7.35</c:v>
                </c:pt>
                <c:pt idx="13">
                  <c:v>7.35</c:v>
                </c:pt>
                <c:pt idx="14">
                  <c:v>7.35</c:v>
                </c:pt>
              </c:numCache>
            </c:numRef>
          </c:yVal>
          <c:smooth val="1"/>
        </c:ser>
        <c:ser>
          <c:idx val="1"/>
          <c:order val="1"/>
          <c:tx>
            <c:v>Application</c:v>
          </c:tx>
          <c:xVal>
            <c:numRef>
              <c:f>Calculation_Z!$X$6:$X$9</c:f>
              <c:numCache>
                <c:formatCode>0</c:formatCode>
                <c:ptCount val="4"/>
                <c:pt idx="0" formatCode="General">
                  <c:v>0.0</c:v>
                </c:pt>
                <c:pt idx="1">
                  <c:v>0.0</c:v>
                </c:pt>
                <c:pt idx="2">
                  <c:v>1300.329747814635</c:v>
                </c:pt>
                <c:pt idx="3">
                  <c:v>1300.329747814635</c:v>
                </c:pt>
              </c:numCache>
            </c:numRef>
          </c:xVal>
          <c:yVal>
            <c:numRef>
              <c:f>Calculation_Z!$Y$6:$Y$9</c:f>
              <c:numCache>
                <c:formatCode>0.00</c:formatCode>
                <c:ptCount val="4"/>
                <c:pt idx="0">
                  <c:v>0.0</c:v>
                </c:pt>
                <c:pt idx="1">
                  <c:v>6.832527039007092</c:v>
                </c:pt>
                <c:pt idx="2">
                  <c:v>6.832527039007092</c:v>
                </c:pt>
                <c:pt idx="3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514552"/>
        <c:axId val="-2050472568"/>
      </c:scatterChart>
      <c:valAx>
        <c:axId val="-2129514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n / [1/min]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50472568"/>
        <c:crosses val="autoZero"/>
        <c:crossBetween val="midCat"/>
      </c:valAx>
      <c:valAx>
        <c:axId val="-2050472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T / [Nm]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95145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5" l="0.7" r="0.7" t="0.7874015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Nema14 (graph1)</c:v>
          </c:tx>
          <c:xVal>
            <c:numRef>
              <c:f>DB!$M$3:$M$16</c:f>
              <c:numCache>
                <c:formatCode>General</c:formatCode>
                <c:ptCount val="14"/>
                <c:pt idx="0">
                  <c:v>0.0</c:v>
                </c:pt>
                <c:pt idx="1">
                  <c:v>100.0</c:v>
                </c:pt>
                <c:pt idx="2">
                  <c:v>200.0</c:v>
                </c:pt>
                <c:pt idx="3">
                  <c:v>300.0</c:v>
                </c:pt>
                <c:pt idx="4">
                  <c:v>400.0</c:v>
                </c:pt>
                <c:pt idx="5">
                  <c:v>500.0</c:v>
                </c:pt>
                <c:pt idx="6">
                  <c:v>600.0</c:v>
                </c:pt>
                <c:pt idx="7">
                  <c:v>700.0</c:v>
                </c:pt>
                <c:pt idx="8">
                  <c:v>800.0</c:v>
                </c:pt>
                <c:pt idx="9">
                  <c:v>900.0</c:v>
                </c:pt>
                <c:pt idx="10">
                  <c:v>1000.0</c:v>
                </c:pt>
                <c:pt idx="11">
                  <c:v>1100.0</c:v>
                </c:pt>
                <c:pt idx="12">
                  <c:v>1200.0</c:v>
                </c:pt>
                <c:pt idx="13">
                  <c:v>1300.0</c:v>
                </c:pt>
              </c:numCache>
            </c:numRef>
          </c:xVal>
          <c:yVal>
            <c:numRef>
              <c:f>DB!$N$3:$N$16</c:f>
              <c:numCache>
                <c:formatCode>General</c:formatCode>
                <c:ptCount val="14"/>
              </c:numCache>
            </c:numRef>
          </c:yVal>
          <c:smooth val="1"/>
        </c:ser>
        <c:ser>
          <c:idx val="1"/>
          <c:order val="1"/>
          <c:tx>
            <c:v>Application</c:v>
          </c:tx>
          <c:xVal>
            <c:numRef>
              <c:f>Calculation_Z!$X$6:$X$9</c:f>
              <c:numCache>
                <c:formatCode>0</c:formatCode>
                <c:ptCount val="4"/>
                <c:pt idx="0" formatCode="General">
                  <c:v>0.0</c:v>
                </c:pt>
                <c:pt idx="1">
                  <c:v>0.0</c:v>
                </c:pt>
                <c:pt idx="2">
                  <c:v>1300.329747814635</c:v>
                </c:pt>
                <c:pt idx="3">
                  <c:v>1300.329747814635</c:v>
                </c:pt>
              </c:numCache>
            </c:numRef>
          </c:xVal>
          <c:yVal>
            <c:numRef>
              <c:f>Calculation_Z!$Y$6:$Y$9</c:f>
              <c:numCache>
                <c:formatCode>0.00</c:formatCode>
                <c:ptCount val="4"/>
                <c:pt idx="0">
                  <c:v>0.0</c:v>
                </c:pt>
                <c:pt idx="1">
                  <c:v>6.832527039007092</c:v>
                </c:pt>
                <c:pt idx="2">
                  <c:v>6.832527039007092</c:v>
                </c:pt>
                <c:pt idx="3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948968"/>
        <c:axId val="-2128816568"/>
      </c:scatterChart>
      <c:valAx>
        <c:axId val="-2050948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n / [1/min]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8816568"/>
        <c:crosses val="autoZero"/>
        <c:crossBetween val="midCat"/>
      </c:valAx>
      <c:valAx>
        <c:axId val="-2128816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T / [Nm]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50948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5" l="0.7" r="0.7" t="0.7874015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Nema14 (graph2)</c:v>
          </c:tx>
          <c:xVal>
            <c:numRef>
              <c:f>DB!$P$3:$P$25</c:f>
              <c:numCache>
                <c:formatCode>General</c:formatCode>
                <c:ptCount val="23"/>
              </c:numCache>
            </c:numRef>
          </c:xVal>
          <c:yVal>
            <c:numRef>
              <c:f>DB!$Q$3:$Q$25</c:f>
              <c:numCache>
                <c:formatCode>General</c:formatCode>
                <c:ptCount val="23"/>
              </c:numCache>
            </c:numRef>
          </c:yVal>
          <c:smooth val="1"/>
        </c:ser>
        <c:ser>
          <c:idx val="1"/>
          <c:order val="1"/>
          <c:tx>
            <c:v>Application</c:v>
          </c:tx>
          <c:xVal>
            <c:numRef>
              <c:f>Calculation_Z!$X$6:$X$9</c:f>
              <c:numCache>
                <c:formatCode>0</c:formatCode>
                <c:ptCount val="4"/>
                <c:pt idx="0" formatCode="General">
                  <c:v>0.0</c:v>
                </c:pt>
                <c:pt idx="1">
                  <c:v>0.0</c:v>
                </c:pt>
                <c:pt idx="2">
                  <c:v>1300.329747814635</c:v>
                </c:pt>
                <c:pt idx="3">
                  <c:v>1300.329747814635</c:v>
                </c:pt>
              </c:numCache>
            </c:numRef>
          </c:xVal>
          <c:yVal>
            <c:numRef>
              <c:f>Calculation_Z!$Y$6:$Y$9</c:f>
              <c:numCache>
                <c:formatCode>0.00</c:formatCode>
                <c:ptCount val="4"/>
                <c:pt idx="0">
                  <c:v>0.0</c:v>
                </c:pt>
                <c:pt idx="1">
                  <c:v>6.832527039007092</c:v>
                </c:pt>
                <c:pt idx="2">
                  <c:v>6.832527039007092</c:v>
                </c:pt>
                <c:pt idx="3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502104"/>
        <c:axId val="-2050433048"/>
      </c:scatterChart>
      <c:valAx>
        <c:axId val="-2127502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n / [1/min]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50433048"/>
        <c:crosses val="autoZero"/>
        <c:crossBetween val="midCat"/>
      </c:valAx>
      <c:valAx>
        <c:axId val="-2050433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T / [Nm]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75021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5" l="0.7" r="0.7" t="0.7874015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25401</xdr:colOff>
      <xdr:row>1</xdr:row>
      <xdr:rowOff>141515</xdr:rowOff>
    </xdr:from>
    <xdr:to>
      <xdr:col>16</xdr:col>
      <xdr:colOff>736601</xdr:colOff>
      <xdr:row>32</xdr:row>
      <xdr:rowOff>126999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442579</xdr:colOff>
      <xdr:row>1</xdr:row>
      <xdr:rowOff>146955</xdr:rowOff>
    </xdr:from>
    <xdr:to>
      <xdr:col>16</xdr:col>
      <xdr:colOff>596900</xdr:colOff>
      <xdr:row>32</xdr:row>
      <xdr:rowOff>165099</xdr:rowOff>
    </xdr:to>
    <xdr:graphicFrame macro="">
      <xdr:nvGraphicFramePr>
        <xdr:cNvPr id="3" name="Diagramm 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533401</xdr:colOff>
      <xdr:row>11</xdr:row>
      <xdr:rowOff>54431</xdr:rowOff>
    </xdr:from>
    <xdr:to>
      <xdr:col>16</xdr:col>
      <xdr:colOff>685800</xdr:colOff>
      <xdr:row>41</xdr:row>
      <xdr:rowOff>149841</xdr:rowOff>
    </xdr:to>
    <xdr:graphicFrame macro="">
      <xdr:nvGraphicFramePr>
        <xdr:cNvPr id="4" name="Diagramm 3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555172</xdr:colOff>
      <xdr:row>11</xdr:row>
      <xdr:rowOff>54428</xdr:rowOff>
    </xdr:from>
    <xdr:to>
      <xdr:col>16</xdr:col>
      <xdr:colOff>685801</xdr:colOff>
      <xdr:row>41</xdr:row>
      <xdr:rowOff>149837</xdr:rowOff>
    </xdr:to>
    <xdr:graphicFrame macro="">
      <xdr:nvGraphicFramePr>
        <xdr:cNvPr id="5" name="Diagramm 4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716630</xdr:colOff>
      <xdr:row>46</xdr:row>
      <xdr:rowOff>27214</xdr:rowOff>
    </xdr:from>
    <xdr:to>
      <xdr:col>11</xdr:col>
      <xdr:colOff>458095</xdr:colOff>
      <xdr:row>48</xdr:row>
      <xdr:rowOff>108856</xdr:rowOff>
    </xdr:to>
    <xdr:sp macro="" textlink="">
      <xdr:nvSpPr>
        <xdr:cNvPr id="25" name="Gleichschenkliges Dreieck 24"/>
        <xdr:cNvSpPr/>
      </xdr:nvSpPr>
      <xdr:spPr>
        <a:xfrm>
          <a:off x="22979730" y="4535714"/>
          <a:ext cx="566965" cy="437242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693045</xdr:colOff>
      <xdr:row>40</xdr:row>
      <xdr:rowOff>84364</xdr:rowOff>
    </xdr:from>
    <xdr:to>
      <xdr:col>11</xdr:col>
      <xdr:colOff>447210</xdr:colOff>
      <xdr:row>42</xdr:row>
      <xdr:rowOff>166006</xdr:rowOff>
    </xdr:to>
    <xdr:sp macro="" textlink="">
      <xdr:nvSpPr>
        <xdr:cNvPr id="27" name="Gleichschenkliges Dreieck 26"/>
        <xdr:cNvSpPr/>
      </xdr:nvSpPr>
      <xdr:spPr>
        <a:xfrm rot="10800000">
          <a:off x="22956145" y="3513364"/>
          <a:ext cx="579665" cy="437242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18141</xdr:colOff>
      <xdr:row>43</xdr:row>
      <xdr:rowOff>13607</xdr:rowOff>
    </xdr:from>
    <xdr:to>
      <xdr:col>11</xdr:col>
      <xdr:colOff>526143</xdr:colOff>
      <xdr:row>46</xdr:row>
      <xdr:rowOff>13607</xdr:rowOff>
    </xdr:to>
    <xdr:sp macro="" textlink="">
      <xdr:nvSpPr>
        <xdr:cNvPr id="28" name="Rechteck 27"/>
        <xdr:cNvSpPr/>
      </xdr:nvSpPr>
      <xdr:spPr>
        <a:xfrm>
          <a:off x="23106741" y="3976007"/>
          <a:ext cx="508002" cy="5461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27214</xdr:colOff>
      <xdr:row>35</xdr:row>
      <xdr:rowOff>13607</xdr:rowOff>
    </xdr:from>
    <xdr:to>
      <xdr:col>9</xdr:col>
      <xdr:colOff>27214</xdr:colOff>
      <xdr:row>54</xdr:row>
      <xdr:rowOff>136072</xdr:rowOff>
    </xdr:to>
    <xdr:sp macro="" textlink="">
      <xdr:nvSpPr>
        <xdr:cNvPr id="29" name="Ecken des Rechtecks auf der gleichen Seite schneiden 28"/>
        <xdr:cNvSpPr/>
      </xdr:nvSpPr>
      <xdr:spPr>
        <a:xfrm rot="10800000">
          <a:off x="18988314" y="2540907"/>
          <a:ext cx="2476500" cy="3526065"/>
        </a:xfrm>
        <a:prstGeom prst="snip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367393</xdr:colOff>
      <xdr:row>36</xdr:row>
      <xdr:rowOff>13606</xdr:rowOff>
    </xdr:from>
    <xdr:to>
      <xdr:col>8</xdr:col>
      <xdr:colOff>503464</xdr:colOff>
      <xdr:row>45</xdr:row>
      <xdr:rowOff>54429</xdr:rowOff>
    </xdr:to>
    <xdr:sp macro="" textlink="">
      <xdr:nvSpPr>
        <xdr:cNvPr id="30" name="Rechteck 29"/>
        <xdr:cNvSpPr/>
      </xdr:nvSpPr>
      <xdr:spPr>
        <a:xfrm>
          <a:off x="19328493" y="2718706"/>
          <a:ext cx="1787071" cy="1653723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Getriebemotor</a:t>
          </a:r>
        </a:p>
      </xdr:txBody>
    </xdr:sp>
    <xdr:clientData/>
  </xdr:twoCellAnchor>
  <xdr:twoCellAnchor>
    <xdr:from>
      <xdr:col>11</xdr:col>
      <xdr:colOff>483513</xdr:colOff>
      <xdr:row>35</xdr:row>
      <xdr:rowOff>176892</xdr:rowOff>
    </xdr:from>
    <xdr:to>
      <xdr:col>12</xdr:col>
      <xdr:colOff>480789</xdr:colOff>
      <xdr:row>52</xdr:row>
      <xdr:rowOff>163285</xdr:rowOff>
    </xdr:to>
    <xdr:sp macro="" textlink="">
      <xdr:nvSpPr>
        <xdr:cNvPr id="31" name="Rechteck 30"/>
        <xdr:cNvSpPr/>
      </xdr:nvSpPr>
      <xdr:spPr>
        <a:xfrm>
          <a:off x="23572113" y="2704192"/>
          <a:ext cx="822776" cy="3034393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54427</xdr:colOff>
      <xdr:row>58</xdr:row>
      <xdr:rowOff>0</xdr:rowOff>
    </xdr:from>
    <xdr:to>
      <xdr:col>11</xdr:col>
      <xdr:colOff>145143</xdr:colOff>
      <xdr:row>58</xdr:row>
      <xdr:rowOff>0</xdr:rowOff>
    </xdr:to>
    <xdr:cxnSp macro="">
      <xdr:nvCxnSpPr>
        <xdr:cNvPr id="33" name="Gerade Verbindung mit Pfeil 32"/>
        <xdr:cNvCxnSpPr/>
      </xdr:nvCxnSpPr>
      <xdr:spPr>
        <a:xfrm>
          <a:off x="21492027" y="6654800"/>
          <a:ext cx="1741716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28580</xdr:colOff>
      <xdr:row>35</xdr:row>
      <xdr:rowOff>176891</xdr:rowOff>
    </xdr:from>
    <xdr:to>
      <xdr:col>12</xdr:col>
      <xdr:colOff>28580</xdr:colOff>
      <xdr:row>60</xdr:row>
      <xdr:rowOff>6534</xdr:rowOff>
    </xdr:to>
    <xdr:cxnSp macro="">
      <xdr:nvCxnSpPr>
        <xdr:cNvPr id="34" name="Gerade Verbindung 33"/>
        <xdr:cNvCxnSpPr>
          <a:stCxn id="31" idx="0"/>
          <a:endCxn id="31" idx="2"/>
        </xdr:cNvCxnSpPr>
      </xdr:nvCxnSpPr>
      <xdr:spPr>
        <a:xfrm>
          <a:off x="23942680" y="2704191"/>
          <a:ext cx="0" cy="43254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40821</xdr:colOff>
      <xdr:row>44</xdr:row>
      <xdr:rowOff>108859</xdr:rowOff>
    </xdr:from>
    <xdr:to>
      <xdr:col>9</xdr:col>
      <xdr:colOff>40823</xdr:colOff>
      <xdr:row>59</xdr:row>
      <xdr:rowOff>81643</xdr:rowOff>
    </xdr:to>
    <xdr:cxnSp macro="">
      <xdr:nvCxnSpPr>
        <xdr:cNvPr id="36" name="Gerade Verbindung 35"/>
        <xdr:cNvCxnSpPr>
          <a:stCxn id="43" idx="1"/>
        </xdr:cNvCxnSpPr>
      </xdr:nvCxnSpPr>
      <xdr:spPr>
        <a:xfrm flipH="1">
          <a:off x="21478421" y="4249059"/>
          <a:ext cx="2" cy="266518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35</xdr:row>
      <xdr:rowOff>145143</xdr:rowOff>
    </xdr:from>
    <xdr:to>
      <xdr:col>14</xdr:col>
      <xdr:colOff>27206</xdr:colOff>
      <xdr:row>53</xdr:row>
      <xdr:rowOff>13608</xdr:rowOff>
    </xdr:to>
    <xdr:cxnSp macro="">
      <xdr:nvCxnSpPr>
        <xdr:cNvPr id="37" name="Gerade Verbindung mit Pfeil 36"/>
        <xdr:cNvCxnSpPr/>
      </xdr:nvCxnSpPr>
      <xdr:spPr>
        <a:xfrm>
          <a:off x="25565100" y="2672443"/>
          <a:ext cx="27206" cy="309426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28580</xdr:colOff>
      <xdr:row>35</xdr:row>
      <xdr:rowOff>176892</xdr:rowOff>
    </xdr:from>
    <xdr:to>
      <xdr:col>14</xdr:col>
      <xdr:colOff>453575</xdr:colOff>
      <xdr:row>35</xdr:row>
      <xdr:rowOff>176892</xdr:rowOff>
    </xdr:to>
    <xdr:cxnSp macro="">
      <xdr:nvCxnSpPr>
        <xdr:cNvPr id="38" name="Gerade Verbindung 37"/>
        <xdr:cNvCxnSpPr>
          <a:stCxn id="31" idx="0"/>
        </xdr:cNvCxnSpPr>
      </xdr:nvCxnSpPr>
      <xdr:spPr>
        <a:xfrm>
          <a:off x="23942680" y="2704192"/>
          <a:ext cx="20759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412300</xdr:colOff>
      <xdr:row>53</xdr:row>
      <xdr:rowOff>2721</xdr:rowOff>
    </xdr:from>
    <xdr:to>
      <xdr:col>14</xdr:col>
      <xdr:colOff>95250</xdr:colOff>
      <xdr:row>53</xdr:row>
      <xdr:rowOff>13607</xdr:rowOff>
    </xdr:to>
    <xdr:cxnSp macro="">
      <xdr:nvCxnSpPr>
        <xdr:cNvPr id="39" name="Gerade Verbindung 38"/>
        <xdr:cNvCxnSpPr/>
      </xdr:nvCxnSpPr>
      <xdr:spPr>
        <a:xfrm>
          <a:off x="23500900" y="5755821"/>
          <a:ext cx="2159450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27218</xdr:colOff>
      <xdr:row>52</xdr:row>
      <xdr:rowOff>163285</xdr:rowOff>
    </xdr:from>
    <xdr:to>
      <xdr:col>12</xdr:col>
      <xdr:colOff>28580</xdr:colOff>
      <xdr:row>63</xdr:row>
      <xdr:rowOff>7485</xdr:rowOff>
    </xdr:to>
    <xdr:cxnSp macro="">
      <xdr:nvCxnSpPr>
        <xdr:cNvPr id="40" name="Gerade Verbindung mit Pfeil 39"/>
        <xdr:cNvCxnSpPr>
          <a:stCxn id="31" idx="2"/>
        </xdr:cNvCxnSpPr>
      </xdr:nvCxnSpPr>
      <xdr:spPr>
        <a:xfrm flipH="1">
          <a:off x="14035318" y="9573985"/>
          <a:ext cx="1362" cy="1800000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800559</xdr:colOff>
      <xdr:row>40</xdr:row>
      <xdr:rowOff>34017</xdr:rowOff>
    </xdr:from>
    <xdr:to>
      <xdr:col>11</xdr:col>
      <xdr:colOff>244934</xdr:colOff>
      <xdr:row>48</xdr:row>
      <xdr:rowOff>13606</xdr:rowOff>
    </xdr:to>
    <xdr:sp macro="" textlink="">
      <xdr:nvSpPr>
        <xdr:cNvPr id="42" name="Nach rechts gekrümmter Pfeil 41"/>
        <xdr:cNvSpPr/>
      </xdr:nvSpPr>
      <xdr:spPr>
        <a:xfrm rot="5400000" flipV="1">
          <a:off x="22078502" y="3622674"/>
          <a:ext cx="1414689" cy="1095375"/>
        </a:xfrm>
        <a:prstGeom prst="curvedRightArrow">
          <a:avLst>
            <a:gd name="adj1" fmla="val 10290"/>
            <a:gd name="adj2" fmla="val 19740"/>
            <a:gd name="adj3" fmla="val 25000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40823</xdr:colOff>
      <xdr:row>42</xdr:row>
      <xdr:rowOff>13609</xdr:rowOff>
    </xdr:from>
    <xdr:to>
      <xdr:col>11</xdr:col>
      <xdr:colOff>1</xdr:colOff>
      <xdr:row>47</xdr:row>
      <xdr:rowOff>13609</xdr:rowOff>
    </xdr:to>
    <xdr:sp macro="" textlink="">
      <xdr:nvSpPr>
        <xdr:cNvPr id="43" name="Rechteck 42"/>
        <xdr:cNvSpPr/>
      </xdr:nvSpPr>
      <xdr:spPr>
        <a:xfrm>
          <a:off x="21478423" y="3798209"/>
          <a:ext cx="1610178" cy="9017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181429</xdr:colOff>
      <xdr:row>58</xdr:row>
      <xdr:rowOff>0</xdr:rowOff>
    </xdr:from>
    <xdr:to>
      <xdr:col>12</xdr:col>
      <xdr:colOff>54429</xdr:colOff>
      <xdr:row>58</xdr:row>
      <xdr:rowOff>0</xdr:rowOff>
    </xdr:to>
    <xdr:cxnSp macro="">
      <xdr:nvCxnSpPr>
        <xdr:cNvPr id="44" name="Gerade Verbindung mit Pfeil 43"/>
        <xdr:cNvCxnSpPr/>
      </xdr:nvCxnSpPr>
      <xdr:spPr>
        <a:xfrm>
          <a:off x="23270029" y="6654800"/>
          <a:ext cx="69850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176881</xdr:colOff>
      <xdr:row>46</xdr:row>
      <xdr:rowOff>0</xdr:rowOff>
    </xdr:from>
    <xdr:to>
      <xdr:col>11</xdr:col>
      <xdr:colOff>176881</xdr:colOff>
      <xdr:row>58</xdr:row>
      <xdr:rowOff>10071</xdr:rowOff>
    </xdr:to>
    <xdr:cxnSp macro="">
      <xdr:nvCxnSpPr>
        <xdr:cNvPr id="45" name="Gerade Verbindung 44"/>
        <xdr:cNvCxnSpPr/>
      </xdr:nvCxnSpPr>
      <xdr:spPr>
        <a:xfrm>
          <a:off x="23265481" y="4508500"/>
          <a:ext cx="0" cy="21563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 enableFormatConditionsCalculation="0"/>
  <dimension ref="A1:Z68"/>
  <sheetViews>
    <sheetView tabSelected="1" topLeftCell="A7" workbookViewId="0">
      <selection activeCell="H58" sqref="H58"/>
    </sheetView>
  </sheetViews>
  <sheetFormatPr baseColWidth="10" defaultRowHeight="14" x14ac:dyDescent="0"/>
  <cols>
    <col min="1" max="1" width="5.33203125" customWidth="1"/>
    <col min="2" max="2" width="20.5" bestFit="1" customWidth="1"/>
    <col min="3" max="3" width="16.1640625" bestFit="1" customWidth="1"/>
    <col min="4" max="4" width="7.33203125" bestFit="1" customWidth="1"/>
    <col min="5" max="5" width="56.1640625" bestFit="1" customWidth="1"/>
    <col min="8" max="8" width="13.33203125" bestFit="1" customWidth="1"/>
  </cols>
  <sheetData>
    <row r="1" spans="1:25" ht="19">
      <c r="A1" s="17" t="s">
        <v>64</v>
      </c>
      <c r="F1" s="17"/>
      <c r="G1" s="17" t="s">
        <v>76</v>
      </c>
    </row>
    <row r="2" spans="1:25" ht="12.5" customHeight="1">
      <c r="A2" s="17"/>
      <c r="X2" t="s">
        <v>60</v>
      </c>
    </row>
    <row r="3" spans="1:25">
      <c r="A3" s="18"/>
      <c r="B3" t="s">
        <v>0</v>
      </c>
      <c r="C3" s="1">
        <v>125</v>
      </c>
      <c r="D3" t="s">
        <v>2</v>
      </c>
      <c r="E3" t="s">
        <v>54</v>
      </c>
    </row>
    <row r="4" spans="1:25">
      <c r="A4" s="18"/>
      <c r="B4" t="s">
        <v>1</v>
      </c>
      <c r="C4" s="1">
        <v>90</v>
      </c>
      <c r="D4" t="s">
        <v>3</v>
      </c>
      <c r="E4" t="s">
        <v>77</v>
      </c>
    </row>
    <row r="5" spans="1:25">
      <c r="A5" s="18"/>
      <c r="X5" t="s">
        <v>57</v>
      </c>
      <c r="Y5" t="s">
        <v>58</v>
      </c>
    </row>
    <row r="6" spans="1:25">
      <c r="A6" s="18"/>
      <c r="B6" t="s">
        <v>4</v>
      </c>
      <c r="C6" s="1">
        <v>1</v>
      </c>
      <c r="D6" t="s">
        <v>5</v>
      </c>
      <c r="X6">
        <v>0</v>
      </c>
      <c r="Y6" s="3">
        <v>0</v>
      </c>
    </row>
    <row r="7" spans="1:25">
      <c r="A7" s="18"/>
      <c r="B7" t="s">
        <v>6</v>
      </c>
      <c r="C7" s="1">
        <v>0.4</v>
      </c>
      <c r="D7" t="s">
        <v>7</v>
      </c>
      <c r="X7" s="5">
        <v>0</v>
      </c>
      <c r="Y7" s="3">
        <f>C42</f>
        <v>6.8325270390070925</v>
      </c>
    </row>
    <row r="8" spans="1:25">
      <c r="A8" s="18"/>
      <c r="X8" s="5">
        <f>C43</f>
        <v>1300.3297478146346</v>
      </c>
      <c r="Y8" s="3">
        <f>C42</f>
        <v>6.8325270390070925</v>
      </c>
    </row>
    <row r="9" spans="1:25">
      <c r="A9" s="18"/>
      <c r="B9" t="s">
        <v>9</v>
      </c>
      <c r="C9" s="1">
        <v>0.1</v>
      </c>
      <c r="D9" t="s">
        <v>8</v>
      </c>
      <c r="E9" t="s">
        <v>55</v>
      </c>
      <c r="X9" s="5">
        <f>X8</f>
        <v>1300.3297478146346</v>
      </c>
      <c r="Y9" s="3">
        <v>0</v>
      </c>
    </row>
    <row r="10" spans="1:25">
      <c r="A10" s="18"/>
      <c r="C10" s="6"/>
    </row>
    <row r="11" spans="1:25">
      <c r="A11" s="18" t="s">
        <v>61</v>
      </c>
      <c r="B11" t="s">
        <v>33</v>
      </c>
      <c r="C11" s="7">
        <v>170</v>
      </c>
      <c r="D11" t="s">
        <v>15</v>
      </c>
      <c r="E11" t="s">
        <v>40</v>
      </c>
    </row>
    <row r="12" spans="1:25">
      <c r="A12" s="18"/>
      <c r="B12" t="s">
        <v>14</v>
      </c>
      <c r="C12" s="10">
        <f>C9*9.81*C3*COS(RADIANS(C4))</f>
        <v>7.511691464158478E-15</v>
      </c>
      <c r="D12" t="s">
        <v>15</v>
      </c>
      <c r="E12" t="s">
        <v>56</v>
      </c>
    </row>
    <row r="13" spans="1:25">
      <c r="A13" s="18"/>
      <c r="B13" t="s">
        <v>16</v>
      </c>
      <c r="C13">
        <f>C3*9.81*SIN(RADIANS(C4))</f>
        <v>1226.25</v>
      </c>
      <c r="D13" t="s">
        <v>15</v>
      </c>
      <c r="E13" t="s">
        <v>37</v>
      </c>
    </row>
    <row r="14" spans="1:25">
      <c r="A14" s="18"/>
      <c r="B14" s="8" t="s">
        <v>17</v>
      </c>
      <c r="C14" s="8">
        <f>C3*C6</f>
        <v>125</v>
      </c>
      <c r="D14" s="8" t="s">
        <v>15</v>
      </c>
      <c r="E14" t="s">
        <v>38</v>
      </c>
    </row>
    <row r="15" spans="1:25">
      <c r="A15" s="18"/>
      <c r="B15" t="s">
        <v>18</v>
      </c>
      <c r="C15" s="22">
        <f>SUM($C$11:$C$14)</f>
        <v>1521.25</v>
      </c>
      <c r="D15" t="s">
        <v>15</v>
      </c>
      <c r="E15" t="s">
        <v>41</v>
      </c>
    </row>
    <row r="16" spans="1:25">
      <c r="A16" s="18"/>
    </row>
    <row r="17" spans="1:26" ht="15" thickBot="1">
      <c r="A17" s="18"/>
      <c r="B17" s="11" t="s">
        <v>65</v>
      </c>
      <c r="C17" s="11"/>
      <c r="D17" s="11"/>
    </row>
    <row r="18" spans="1:26">
      <c r="A18" s="18"/>
      <c r="B18" t="s">
        <v>66</v>
      </c>
      <c r="C18" s="1">
        <f>0.235</f>
        <v>0.23499999999999999</v>
      </c>
      <c r="D18" t="s">
        <v>0</v>
      </c>
      <c r="E18" t="s">
        <v>39</v>
      </c>
    </row>
    <row r="19" spans="1:26">
      <c r="A19" s="18" t="s">
        <v>61</v>
      </c>
      <c r="B19" t="s">
        <v>67</v>
      </c>
      <c r="C19" s="1">
        <f>(57940000/1000)/100000</f>
        <v>0.57940000000000003</v>
      </c>
      <c r="D19" t="s">
        <v>12</v>
      </c>
      <c r="E19" t="s">
        <v>68</v>
      </c>
    </row>
    <row r="20" spans="1:26">
      <c r="A20" s="18"/>
      <c r="B20" t="s">
        <v>69</v>
      </c>
      <c r="C20" s="6">
        <f>C6/(C18/2)</f>
        <v>8.5106382978723403</v>
      </c>
      <c r="D20" t="s">
        <v>32</v>
      </c>
    </row>
    <row r="21" spans="1:26">
      <c r="A21" s="18"/>
    </row>
    <row r="22" spans="1:26">
      <c r="A22" s="18"/>
      <c r="B22" t="s">
        <v>19</v>
      </c>
      <c r="C22" s="12">
        <f>C15*C18/2+C19*C20</f>
        <v>183.67793882978722</v>
      </c>
      <c r="D22" s="13" t="s">
        <v>20</v>
      </c>
      <c r="E22" t="s">
        <v>42</v>
      </c>
      <c r="Z22" s="24"/>
    </row>
    <row r="23" spans="1:26">
      <c r="A23" s="18"/>
      <c r="B23" t="s">
        <v>21</v>
      </c>
      <c r="C23" s="12">
        <f>C7/(PI()*C18)*60</f>
        <v>32.508243695365863</v>
      </c>
      <c r="D23" s="13" t="s">
        <v>22</v>
      </c>
      <c r="E23" t="s">
        <v>47</v>
      </c>
    </row>
    <row r="24" spans="1:26">
      <c r="A24" s="18"/>
      <c r="C24" s="3"/>
    </row>
    <row r="25" spans="1:26" ht="15" thickBot="1">
      <c r="A25" s="18"/>
      <c r="B25" s="11" t="s">
        <v>35</v>
      </c>
      <c r="C25" s="11"/>
      <c r="D25" s="11"/>
    </row>
    <row r="26" spans="1:26">
      <c r="A26" s="18"/>
      <c r="B26" t="s">
        <v>10</v>
      </c>
      <c r="C26" s="1">
        <v>40</v>
      </c>
      <c r="D26" t="s">
        <v>8</v>
      </c>
      <c r="E26" t="s">
        <v>43</v>
      </c>
    </row>
    <row r="27" spans="1:26">
      <c r="A27" s="18" t="s">
        <v>61</v>
      </c>
      <c r="B27" t="s">
        <v>11</v>
      </c>
      <c r="C27" s="4">
        <v>5.0000000000000001E-4</v>
      </c>
      <c r="D27" t="s">
        <v>12</v>
      </c>
      <c r="E27" t="s">
        <v>44</v>
      </c>
    </row>
    <row r="28" spans="1:26">
      <c r="A28" s="18"/>
      <c r="B28" t="s">
        <v>13</v>
      </c>
      <c r="C28" s="1">
        <v>0.75</v>
      </c>
      <c r="D28" t="s">
        <v>8</v>
      </c>
    </row>
    <row r="29" spans="1:26">
      <c r="A29" s="18"/>
      <c r="V29" s="23"/>
    </row>
    <row r="30" spans="1:26">
      <c r="A30" s="18"/>
      <c r="B30" t="s">
        <v>23</v>
      </c>
      <c r="C30" s="12">
        <f>(C22/C26+C27*C20*C26)/C28</f>
        <v>6.3495483156028376</v>
      </c>
      <c r="D30" s="13" t="s">
        <v>20</v>
      </c>
      <c r="E30" t="s">
        <v>45</v>
      </c>
    </row>
    <row r="31" spans="1:26">
      <c r="A31" s="18"/>
      <c r="B31" t="s">
        <v>24</v>
      </c>
      <c r="C31" s="14">
        <f>C23*C26</f>
        <v>1300.3297478146346</v>
      </c>
      <c r="D31" s="13" t="s">
        <v>22</v>
      </c>
      <c r="E31" t="s">
        <v>46</v>
      </c>
    </row>
    <row r="32" spans="1:26">
      <c r="A32" s="18"/>
      <c r="C32" s="16"/>
      <c r="D32" s="6"/>
    </row>
    <row r="33" spans="1:24">
      <c r="A33" s="18"/>
      <c r="C33" s="16"/>
      <c r="D33" s="6"/>
    </row>
    <row r="34" spans="1:24" ht="20" thickBot="1">
      <c r="A34" s="18"/>
      <c r="B34" s="11" t="s">
        <v>74</v>
      </c>
      <c r="C34" s="11"/>
      <c r="D34" s="11"/>
      <c r="G34" s="17" t="s">
        <v>75</v>
      </c>
    </row>
    <row r="35" spans="1:24">
      <c r="A35" s="18" t="s">
        <v>61</v>
      </c>
      <c r="B35" t="s">
        <v>25</v>
      </c>
      <c r="C35" s="1">
        <v>1E-3</v>
      </c>
      <c r="D35" t="s">
        <v>12</v>
      </c>
      <c r="E35" t="s">
        <v>48</v>
      </c>
    </row>
    <row r="36" spans="1:24">
      <c r="A36" s="18"/>
    </row>
    <row r="37" spans="1:24">
      <c r="A37" s="18" t="s">
        <v>61</v>
      </c>
      <c r="B37" t="s">
        <v>49</v>
      </c>
      <c r="C37" s="1">
        <v>0.1</v>
      </c>
      <c r="D37" t="s">
        <v>20</v>
      </c>
      <c r="E37" t="s">
        <v>50</v>
      </c>
    </row>
    <row r="38" spans="1:24">
      <c r="A38" s="18"/>
      <c r="C38" s="6"/>
    </row>
    <row r="39" spans="1:24" ht="15" thickBot="1">
      <c r="A39" s="18"/>
      <c r="B39" s="11" t="s">
        <v>34</v>
      </c>
      <c r="C39" s="11" t="s">
        <v>70</v>
      </c>
      <c r="D39" s="11"/>
    </row>
    <row r="40" spans="1:24">
      <c r="A40" s="18" t="s">
        <v>61</v>
      </c>
      <c r="B40" t="s">
        <v>31</v>
      </c>
      <c r="C40" s="13">
        <f>VLOOKUP(motor_type,DB!A3:B6,2,FALSE)</f>
        <v>5.0000000000000001E-3</v>
      </c>
      <c r="D40" t="s">
        <v>12</v>
      </c>
      <c r="E40" t="s">
        <v>51</v>
      </c>
    </row>
    <row r="41" spans="1:24">
      <c r="A41" s="18"/>
    </row>
    <row r="42" spans="1:24">
      <c r="A42" s="18"/>
      <c r="B42" t="s">
        <v>26</v>
      </c>
      <c r="C42" s="12">
        <f>C30+C35*C20*C26+C40*C20+C37</f>
        <v>6.8325270390070925</v>
      </c>
      <c r="D42" s="13" t="s">
        <v>20</v>
      </c>
      <c r="E42" t="s">
        <v>52</v>
      </c>
    </row>
    <row r="43" spans="1:24">
      <c r="A43" s="18"/>
      <c r="B43" t="s">
        <v>27</v>
      </c>
      <c r="C43" s="14">
        <f>C31</f>
        <v>1300.3297478146346</v>
      </c>
      <c r="D43" s="13" t="s">
        <v>22</v>
      </c>
      <c r="E43" t="s">
        <v>53</v>
      </c>
      <c r="N43" s="24" t="str">
        <f>B18</f>
        <v>d_pulley</v>
      </c>
    </row>
    <row r="44" spans="1:24">
      <c r="A44" s="18"/>
      <c r="N44">
        <f>C18</f>
        <v>0.23499999999999999</v>
      </c>
      <c r="O44" t="s">
        <v>0</v>
      </c>
    </row>
    <row r="45" spans="1:24" ht="15" thickBot="1">
      <c r="A45" s="18"/>
      <c r="B45" s="11" t="s">
        <v>36</v>
      </c>
      <c r="C45" s="11"/>
      <c r="D45" s="11"/>
    </row>
    <row r="46" spans="1:24">
      <c r="A46" s="18"/>
      <c r="B46" t="s">
        <v>28</v>
      </c>
      <c r="C46" s="2">
        <f>C3*(C18/2)^2</f>
        <v>1.7257812499999998</v>
      </c>
      <c r="D46" t="s">
        <v>12</v>
      </c>
    </row>
    <row r="47" spans="1:24">
      <c r="A47" s="18"/>
      <c r="B47" t="s">
        <v>29</v>
      </c>
      <c r="C47" s="9">
        <f>(C46+C19)/C26^2</f>
        <v>1.4407382812500001E-3</v>
      </c>
      <c r="D47" t="s">
        <v>12</v>
      </c>
      <c r="X47" s="22"/>
    </row>
    <row r="48" spans="1:24">
      <c r="A48" s="18"/>
    </row>
    <row r="49" spans="1:13">
      <c r="A49" s="18"/>
      <c r="B49" t="s">
        <v>30</v>
      </c>
      <c r="C49" s="15">
        <f>(C47+C27+C35)/C40</f>
        <v>0.58814765624999998</v>
      </c>
      <c r="D49" s="13" t="s">
        <v>8</v>
      </c>
      <c r="E49" t="s">
        <v>36</v>
      </c>
      <c r="J49" t="str">
        <f>B22</f>
        <v>T_gearboxOutMax</v>
      </c>
    </row>
    <row r="50" spans="1:13">
      <c r="J50" s="23">
        <f>C22</f>
        <v>183.67793882978722</v>
      </c>
      <c r="K50" t="s">
        <v>20</v>
      </c>
    </row>
    <row r="57" spans="1:13">
      <c r="J57" t="s">
        <v>63</v>
      </c>
      <c r="K57">
        <f>0.9-L57</f>
        <v>0.83000000000000007</v>
      </c>
      <c r="L57">
        <v>7.0000000000000007E-2</v>
      </c>
      <c r="M57" t="s">
        <v>0</v>
      </c>
    </row>
    <row r="65" spans="11:13">
      <c r="K65" t="str">
        <f>$B$15</f>
        <v>F_tot</v>
      </c>
      <c r="L65" s="22">
        <f>$C$15</f>
        <v>1521.25</v>
      </c>
      <c r="M65" t="s">
        <v>15</v>
      </c>
    </row>
    <row r="68" spans="11:13">
      <c r="L68" s="22"/>
    </row>
  </sheetData>
  <phoneticPr fontId="8" type="noConversion"/>
  <pageMargins left="0.7" right="0.7" top="0.78740157499999996" bottom="0.78740157499999996" header="0.3" footer="0.3"/>
  <pageSetup paperSize="9" orientation="landscape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DB!$A$3:$A$6</xm:f>
          </x14:formula1>
          <xm:sqref>C39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/>
  <dimension ref="A1:Q25"/>
  <sheetViews>
    <sheetView workbookViewId="0">
      <selection activeCell="B18" sqref="B18"/>
    </sheetView>
  </sheetViews>
  <sheetFormatPr baseColWidth="10" defaultRowHeight="14" x14ac:dyDescent="0"/>
  <cols>
    <col min="1" max="1" width="18.6640625" customWidth="1"/>
    <col min="2" max="2" width="20.83203125" customWidth="1"/>
  </cols>
  <sheetData>
    <row r="1" spans="1:17">
      <c r="A1" t="s">
        <v>34</v>
      </c>
      <c r="G1" t="s">
        <v>70</v>
      </c>
      <c r="J1" t="s">
        <v>70</v>
      </c>
      <c r="M1" t="s">
        <v>72</v>
      </c>
      <c r="P1" s="25" t="s">
        <v>72</v>
      </c>
      <c r="Q1" s="25"/>
    </row>
    <row r="2" spans="1:17">
      <c r="G2" t="s">
        <v>59</v>
      </c>
      <c r="H2" t="s">
        <v>58</v>
      </c>
      <c r="J2" t="s">
        <v>59</v>
      </c>
      <c r="K2" t="s">
        <v>58</v>
      </c>
      <c r="M2" t="s">
        <v>59</v>
      </c>
      <c r="N2" t="s">
        <v>58</v>
      </c>
      <c r="P2" s="19" t="s">
        <v>62</v>
      </c>
      <c r="Q2" s="19" t="s">
        <v>58</v>
      </c>
    </row>
    <row r="3" spans="1:17">
      <c r="A3" t="s">
        <v>70</v>
      </c>
      <c r="B3">
        <f>0.005</f>
        <v>5.0000000000000001E-3</v>
      </c>
      <c r="C3" t="s">
        <v>12</v>
      </c>
      <c r="G3">
        <v>0</v>
      </c>
      <c r="H3">
        <f>2.2*H13</f>
        <v>16.170000000000002</v>
      </c>
      <c r="J3">
        <v>0</v>
      </c>
      <c r="K3">
        <f>2.2*K13</f>
        <v>16.170000000000002</v>
      </c>
      <c r="M3">
        <v>0</v>
      </c>
      <c r="P3" s="20"/>
      <c r="Q3" s="20"/>
    </row>
    <row r="4" spans="1:17">
      <c r="A4" t="s">
        <v>71</v>
      </c>
      <c r="B4">
        <f>0.005</f>
        <v>5.0000000000000001E-3</v>
      </c>
      <c r="C4" t="s">
        <v>12</v>
      </c>
      <c r="G4">
        <v>100</v>
      </c>
      <c r="H4">
        <v>10</v>
      </c>
      <c r="J4">
        <v>100</v>
      </c>
      <c r="K4">
        <v>10</v>
      </c>
      <c r="M4">
        <v>100</v>
      </c>
      <c r="P4" s="20"/>
      <c r="Q4" s="20"/>
    </row>
    <row r="5" spans="1:17">
      <c r="A5" t="s">
        <v>72</v>
      </c>
      <c r="B5">
        <f>0.003</f>
        <v>3.0000000000000001E-3</v>
      </c>
      <c r="C5" t="s">
        <v>12</v>
      </c>
      <c r="D5" s="3"/>
      <c r="E5" s="3"/>
      <c r="G5">
        <v>200</v>
      </c>
      <c r="H5">
        <v>8</v>
      </c>
      <c r="J5">
        <v>200</v>
      </c>
      <c r="K5">
        <v>8</v>
      </c>
      <c r="M5">
        <v>200</v>
      </c>
      <c r="P5" s="20"/>
      <c r="Q5" s="20"/>
    </row>
    <row r="6" spans="1:17">
      <c r="A6" s="21" t="s">
        <v>73</v>
      </c>
      <c r="B6">
        <f>0.003</f>
        <v>3.0000000000000001E-3</v>
      </c>
      <c r="C6" t="s">
        <v>12</v>
      </c>
      <c r="D6" s="3"/>
      <c r="E6" s="3"/>
      <c r="G6">
        <v>300</v>
      </c>
      <c r="H6">
        <v>7.5</v>
      </c>
      <c r="J6">
        <v>300</v>
      </c>
      <c r="K6">
        <v>7.5</v>
      </c>
      <c r="M6">
        <v>300</v>
      </c>
      <c r="P6" s="20"/>
      <c r="Q6" s="20"/>
    </row>
    <row r="7" spans="1:17">
      <c r="A7" s="21"/>
      <c r="B7" s="3"/>
      <c r="C7" s="3"/>
      <c r="D7" s="3"/>
      <c r="E7" s="3"/>
      <c r="G7">
        <v>400</v>
      </c>
      <c r="H7">
        <v>7.35</v>
      </c>
      <c r="J7">
        <v>400</v>
      </c>
      <c r="K7">
        <v>7.35</v>
      </c>
      <c r="M7">
        <v>400</v>
      </c>
      <c r="P7" s="20"/>
      <c r="Q7" s="20"/>
    </row>
    <row r="8" spans="1:17">
      <c r="B8" s="3"/>
      <c r="C8" s="3"/>
      <c r="D8" s="3"/>
      <c r="E8" s="3"/>
      <c r="G8">
        <v>500</v>
      </c>
      <c r="H8">
        <v>7.35</v>
      </c>
      <c r="J8">
        <v>500</v>
      </c>
      <c r="K8">
        <v>7.35</v>
      </c>
      <c r="M8">
        <v>500</v>
      </c>
      <c r="P8" s="20"/>
      <c r="Q8" s="20"/>
    </row>
    <row r="9" spans="1:17">
      <c r="G9">
        <v>600</v>
      </c>
      <c r="H9">
        <v>7.35</v>
      </c>
      <c r="J9">
        <v>600</v>
      </c>
      <c r="K9">
        <v>7.35</v>
      </c>
      <c r="M9">
        <v>600</v>
      </c>
      <c r="P9" s="20"/>
      <c r="Q9" s="20"/>
    </row>
    <row r="10" spans="1:17">
      <c r="G10">
        <v>700</v>
      </c>
      <c r="H10">
        <v>7.35</v>
      </c>
      <c r="J10">
        <v>700</v>
      </c>
      <c r="K10">
        <v>7.35</v>
      </c>
      <c r="M10">
        <v>700</v>
      </c>
      <c r="P10" s="20"/>
      <c r="Q10" s="20"/>
    </row>
    <row r="11" spans="1:17">
      <c r="G11">
        <v>800</v>
      </c>
      <c r="H11">
        <v>7.35</v>
      </c>
      <c r="J11">
        <v>800</v>
      </c>
      <c r="K11">
        <v>7.35</v>
      </c>
      <c r="M11">
        <v>800</v>
      </c>
      <c r="P11" s="20"/>
      <c r="Q11" s="20"/>
    </row>
    <row r="12" spans="1:17">
      <c r="G12">
        <v>900</v>
      </c>
      <c r="H12">
        <v>7.35</v>
      </c>
      <c r="J12">
        <v>900</v>
      </c>
      <c r="K12">
        <v>7.35</v>
      </c>
      <c r="M12">
        <v>900</v>
      </c>
      <c r="P12" s="20"/>
      <c r="Q12" s="20"/>
    </row>
    <row r="13" spans="1:17">
      <c r="G13">
        <v>1000</v>
      </c>
      <c r="H13">
        <v>7.35</v>
      </c>
      <c r="J13">
        <v>1000</v>
      </c>
      <c r="K13">
        <v>7.35</v>
      </c>
      <c r="M13">
        <v>1000</v>
      </c>
      <c r="P13" s="20"/>
      <c r="Q13" s="20"/>
    </row>
    <row r="14" spans="1:17">
      <c r="G14">
        <v>1100</v>
      </c>
      <c r="H14">
        <v>7.35</v>
      </c>
      <c r="J14">
        <v>1100</v>
      </c>
      <c r="K14">
        <v>7.35</v>
      </c>
      <c r="M14">
        <v>1100</v>
      </c>
      <c r="P14" s="20"/>
      <c r="Q14" s="20"/>
    </row>
    <row r="15" spans="1:17">
      <c r="G15">
        <v>1200</v>
      </c>
      <c r="H15">
        <v>7.35</v>
      </c>
      <c r="J15">
        <v>1200</v>
      </c>
      <c r="K15">
        <v>7.35</v>
      </c>
      <c r="M15">
        <v>1200</v>
      </c>
      <c r="P15" s="20"/>
      <c r="Q15" s="20"/>
    </row>
    <row r="16" spans="1:17">
      <c r="G16">
        <v>1300</v>
      </c>
      <c r="H16">
        <v>7.35</v>
      </c>
      <c r="J16">
        <v>1300</v>
      </c>
      <c r="K16">
        <v>7.35</v>
      </c>
      <c r="M16">
        <v>1300</v>
      </c>
      <c r="P16" s="20"/>
      <c r="Q16" s="20"/>
    </row>
    <row r="17" spans="7:17">
      <c r="G17">
        <v>1400</v>
      </c>
      <c r="H17">
        <v>7.35</v>
      </c>
      <c r="J17">
        <v>1400</v>
      </c>
      <c r="K17">
        <v>7.35</v>
      </c>
      <c r="M17">
        <v>1400</v>
      </c>
      <c r="P17" s="20"/>
      <c r="Q17" s="20"/>
    </row>
    <row r="18" spans="7:17">
      <c r="P18" s="20"/>
      <c r="Q18" s="20"/>
    </row>
    <row r="19" spans="7:17">
      <c r="P19" s="20"/>
      <c r="Q19" s="20"/>
    </row>
    <row r="20" spans="7:17">
      <c r="P20" s="20"/>
      <c r="Q20" s="20"/>
    </row>
    <row r="21" spans="7:17">
      <c r="P21" s="20"/>
      <c r="Q21" s="20"/>
    </row>
    <row r="22" spans="7:17">
      <c r="P22" s="20"/>
      <c r="Q22" s="20"/>
    </row>
    <row r="23" spans="7:17">
      <c r="P23" s="20"/>
      <c r="Q23" s="20"/>
    </row>
    <row r="24" spans="7:17">
      <c r="P24" s="20"/>
      <c r="Q24" s="20"/>
    </row>
    <row r="25" spans="7:17">
      <c r="P25" s="20"/>
      <c r="Q25" s="20"/>
    </row>
  </sheetData>
  <mergeCells count="1">
    <mergeCell ref="P1:Q1"/>
  </mergeCells>
  <pageMargins left="0.7" right="0.7" top="0.78740157499999996" bottom="0.78740157499999996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Calculation_Z</vt:lpstr>
      <vt:lpstr>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 Mauro Gaetano Davide</dc:creator>
  <cp:lastModifiedBy>Nicolas Zeller</cp:lastModifiedBy>
  <cp:lastPrinted>2020-03-30T17:51:11Z</cp:lastPrinted>
  <dcterms:created xsi:type="dcterms:W3CDTF">2019-01-24T11:26:35Z</dcterms:created>
  <dcterms:modified xsi:type="dcterms:W3CDTF">2020-04-07T15:51:56Z</dcterms:modified>
</cp:coreProperties>
</file>